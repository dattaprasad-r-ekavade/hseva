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B26" i="1"/>
  <c r="D18" i="1"/>
  <c r="B18" i="1"/>
  <c r="B17" i="1"/>
  <c r="B16" i="1"/>
  <c r="B21" i="1" s="1"/>
  <c r="D9" i="1"/>
  <c r="B27" i="1" l="1"/>
  <c r="D17" i="1"/>
  <c r="D16" i="1"/>
  <c r="D21" i="1" s="1"/>
  <c r="D27" i="1" s="1"/>
  <c r="B29" i="1" l="1"/>
</calcChain>
</file>

<file path=xl/sharedStrings.xml><?xml version="1.0" encoding="utf-8"?>
<sst xmlns="http://schemas.openxmlformats.org/spreadsheetml/2006/main" count="51" uniqueCount="44">
  <si>
    <t>FULL &amp; FINAL SETTLEMENT</t>
  </si>
  <si>
    <t xml:space="preserve">Name : </t>
  </si>
  <si>
    <t>Shrawan Kumar Yadav</t>
  </si>
  <si>
    <r>
      <rPr>
        <b/>
        <sz val="12"/>
        <rFont val="Calibri Light"/>
        <family val="1"/>
        <scheme val="major"/>
      </rPr>
      <t>Basic</t>
    </r>
    <r>
      <rPr>
        <sz val="12"/>
        <rFont val="Calibri Light"/>
        <family val="1"/>
        <scheme val="major"/>
      </rPr>
      <t xml:space="preserve"> :</t>
    </r>
  </si>
  <si>
    <t xml:space="preserve">Designation: </t>
  </si>
  <si>
    <t>Video Editor</t>
  </si>
  <si>
    <t>HRA:</t>
  </si>
  <si>
    <t>Employee Code :</t>
  </si>
  <si>
    <t>Conveyance Allowance:</t>
  </si>
  <si>
    <t xml:space="preserve">Date of Joining : </t>
  </si>
  <si>
    <t>Educational Allowance</t>
  </si>
  <si>
    <t xml:space="preserve">Date of Resignation: </t>
  </si>
  <si>
    <t>Gross Salary :</t>
  </si>
  <si>
    <t xml:space="preserve">Date of Leaving  : </t>
  </si>
  <si>
    <t xml:space="preserve">Salary per month : </t>
  </si>
  <si>
    <t>Salary for the month of  2025</t>
  </si>
  <si>
    <t xml:space="preserve">Days Paid </t>
  </si>
  <si>
    <t xml:space="preserve">Earnings </t>
  </si>
  <si>
    <t xml:space="preserve">Deductions </t>
  </si>
  <si>
    <t xml:space="preserve">Provident Fund </t>
  </si>
  <si>
    <t xml:space="preserve">ESIC </t>
  </si>
  <si>
    <t>Labour welfare fund</t>
  </si>
  <si>
    <t xml:space="preserve">Educational Allowance: </t>
  </si>
  <si>
    <t>Total</t>
  </si>
  <si>
    <t xml:space="preserve">Other Earnings </t>
  </si>
  <si>
    <t xml:space="preserve">Other Deductions </t>
  </si>
  <si>
    <t xml:space="preserve">Gratuity </t>
  </si>
  <si>
    <t xml:space="preserve">Notice pay </t>
  </si>
  <si>
    <t>Earned Leave Encashment</t>
  </si>
  <si>
    <t xml:space="preserve">Recovery </t>
  </si>
  <si>
    <t xml:space="preserve">Total </t>
  </si>
  <si>
    <t xml:space="preserve">Gross Total </t>
  </si>
  <si>
    <t xml:space="preserve">Total Deductions </t>
  </si>
  <si>
    <t xml:space="preserve">Net Amount Payable : </t>
  </si>
  <si>
    <t>DECLARATION :</t>
  </si>
  <si>
    <t xml:space="preserve">In view of this settlement / payment, I have no further claim of whatsoever nature against the </t>
  </si>
  <si>
    <t>company including that of reinstatement or re - employment.</t>
  </si>
  <si>
    <t xml:space="preserve">Name of workman : </t>
  </si>
  <si>
    <t>Sign:</t>
  </si>
  <si>
    <t>HR Sign</t>
  </si>
  <si>
    <t>Accounts Sign</t>
  </si>
  <si>
    <t>GM Sign</t>
  </si>
  <si>
    <t>Name:</t>
  </si>
  <si>
    <r>
      <rPr>
        <b/>
        <sz val="22"/>
        <rFont val="Calibri Light"/>
        <family val="2"/>
        <scheme val="major"/>
      </rPr>
      <t>MAGICA INFOTECH LLP</t>
    </r>
    <r>
      <rPr>
        <sz val="12"/>
        <rFont val="Calibri Light"/>
        <family val="1"/>
        <scheme val="major"/>
      </rPr>
      <t xml:space="preserve">
H NO 05/C GAONKARWADA MULGAO BICHOLIM, Goa, India - 403504
</t>
    </r>
    <r>
      <rPr>
        <b/>
        <sz val="12"/>
        <rFont val="Calibri Light"/>
        <family val="2"/>
        <scheme val="major"/>
      </rPr>
      <t>Contact:</t>
    </r>
    <r>
      <rPr>
        <sz val="12"/>
        <rFont val="Calibri Light"/>
        <family val="1"/>
        <scheme val="major"/>
      </rPr>
      <t xml:space="preserve"> 123456789
</t>
    </r>
    <r>
      <rPr>
        <b/>
        <sz val="12"/>
        <rFont val="Calibri Light"/>
        <family val="2"/>
        <scheme val="major"/>
      </rPr>
      <t>Reg:</t>
    </r>
    <r>
      <rPr>
        <sz val="12"/>
        <rFont val="Calibri Light"/>
        <family val="1"/>
        <scheme val="major"/>
      </rPr>
      <t xml:space="preserve"> ABZ-2570  </t>
    </r>
    <r>
      <rPr>
        <b/>
        <sz val="12"/>
        <rFont val="Calibri Light"/>
        <family val="2"/>
        <scheme val="major"/>
      </rPr>
      <t xml:space="preserve"> PAN: </t>
    </r>
    <r>
      <rPr>
        <sz val="12"/>
        <rFont val="Calibri Light"/>
        <family val="1"/>
        <scheme val="major"/>
      </rPr>
      <t xml:space="preserve">MAG01234N   </t>
    </r>
    <r>
      <rPr>
        <b/>
        <sz val="12"/>
        <rFont val="Calibri Light"/>
        <family val="2"/>
        <scheme val="major"/>
      </rPr>
      <t>TAN:</t>
    </r>
    <r>
      <rPr>
        <sz val="12"/>
        <rFont val="Calibri Light"/>
        <family val="1"/>
        <scheme val="major"/>
      </rPr>
      <t xml:space="preserve"> GBT012346N  </t>
    </r>
    <r>
      <rPr>
        <b/>
        <sz val="12"/>
        <rFont val="Calibri Light"/>
        <family val="2"/>
        <scheme val="major"/>
      </rPr>
      <t xml:space="preserve"> GSTIN:</t>
    </r>
    <r>
      <rPr>
        <sz val="12"/>
        <rFont val="Calibri Light"/>
        <family val="1"/>
        <scheme val="major"/>
      </rPr>
      <t xml:space="preserve"> 3BF25657HU6453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</si>
</sst>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s &quot;#,##0"/>
    <numFmt numFmtId="165" formatCode="[$-409]d\-mmm\-yyyy;@"/>
  </numFmts>
  <fonts count="10" x14ac:knownFonts="1">
    <font>
      <sz val="11"/>
      <color theme="1"/>
      <name val="Calibri"/>
      <family val="2"/>
      <scheme val="minor"/>
    </font>
    <font>
      <sz val="1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name val="Calibri Light"/>
      <family val="1"/>
      <scheme val="major"/>
    </font>
    <font>
      <sz val="12"/>
      <name val="Arial"/>
      <family val="2"/>
    </font>
    <font>
      <u/>
      <sz val="12"/>
      <name val="Calibri Light"/>
      <family val="1"/>
      <scheme val="major"/>
    </font>
    <font>
      <b/>
      <sz val="12"/>
      <name val="Calibri Light"/>
      <family val="2"/>
      <scheme val="major"/>
    </font>
    <font>
      <b/>
      <u/>
      <sz val="18"/>
      <name val="Calibri Light"/>
      <family val="1"/>
      <scheme val="major"/>
    </font>
    <font>
      <b/>
      <sz val="22"/>
      <name val="Calibri Light"/>
      <family val="2"/>
      <scheme val="major"/>
    </font>
    <font>
      <sz val="12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center"/>
    </xf>
    <xf numFmtId="2" fontId="2" fillId="0" borderId="11" xfId="0" applyNumberFormat="1" applyFont="1" applyFill="1" applyBorder="1" applyAlignment="1">
      <alignment horizontal="right" vertical="top"/>
    </xf>
    <xf numFmtId="0" fontId="1" fillId="0" borderId="10" xfId="0" applyFont="1" applyBorder="1"/>
    <xf numFmtId="0" fontId="3" fillId="0" borderId="10" xfId="0" applyFont="1" applyBorder="1" applyAlignment="1">
      <alignment horizontal="left" vertical="center"/>
    </xf>
    <xf numFmtId="1" fontId="1" fillId="0" borderId="10" xfId="0" applyNumberFormat="1" applyFont="1" applyBorder="1" applyAlignment="1">
      <alignment horizontal="left"/>
    </xf>
    <xf numFmtId="165" fontId="1" fillId="2" borderId="10" xfId="0" applyNumberFormat="1" applyFont="1" applyFill="1" applyBorder="1" applyAlignment="1">
      <alignment horizontal="left" vertical="top"/>
    </xf>
    <xf numFmtId="15" fontId="1" fillId="0" borderId="10" xfId="0" applyNumberFormat="1" applyFont="1" applyBorder="1" applyAlignment="1">
      <alignment horizontal="left"/>
    </xf>
    <xf numFmtId="164" fontId="1" fillId="0" borderId="11" xfId="0" applyNumberFormat="1" applyFont="1" applyFill="1" applyBorder="1" applyAlignment="1">
      <alignment horizontal="right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" fillId="0" borderId="10" xfId="0" applyFont="1" applyBorder="1"/>
    <xf numFmtId="0" fontId="1" fillId="0" borderId="11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4" fillId="0" borderId="0" xfId="0" applyFont="1" applyBorder="1"/>
    <xf numFmtId="164" fontId="1" fillId="0" borderId="5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2" fontId="1" fillId="0" borderId="22" xfId="0" applyNumberFormat="1" applyFont="1" applyFill="1" applyBorder="1" applyAlignment="1">
      <alignment horizontal="right" vertical="center"/>
    </xf>
    <xf numFmtId="0" fontId="1" fillId="0" borderId="23" xfId="0" applyFont="1" applyBorder="1" applyAlignment="1">
      <alignment horizontal="left" vertical="center"/>
    </xf>
    <xf numFmtId="2" fontId="2" fillId="0" borderId="24" xfId="0" applyNumberFormat="1" applyFont="1" applyFill="1" applyBorder="1" applyAlignment="1">
      <alignment horizontal="right" vertical="top"/>
    </xf>
    <xf numFmtId="0" fontId="3" fillId="0" borderId="9" xfId="0" applyFont="1" applyBorder="1" applyAlignment="1">
      <alignment horizontal="left" vertical="center"/>
    </xf>
    <xf numFmtId="2" fontId="1" fillId="0" borderId="10" xfId="0" applyNumberFormat="1" applyFont="1" applyFill="1" applyBorder="1" applyAlignment="1">
      <alignment horizontal="right" vertical="center"/>
    </xf>
    <xf numFmtId="2" fontId="1" fillId="0" borderId="11" xfId="0" applyNumberFormat="1" applyFont="1" applyFill="1" applyBorder="1" applyAlignment="1">
      <alignment horizontal="right" vertical="center"/>
    </xf>
    <xf numFmtId="2" fontId="1" fillId="0" borderId="11" xfId="0" applyNumberFormat="1" applyFont="1" applyBorder="1" applyAlignment="1">
      <alignment horizontal="right" vertical="center"/>
    </xf>
    <xf numFmtId="0" fontId="1" fillId="0" borderId="25" xfId="0" applyFont="1" applyBorder="1" applyAlignment="1">
      <alignment horizontal="left" vertical="center"/>
    </xf>
    <xf numFmtId="2" fontId="1" fillId="0" borderId="26" xfId="0" applyNumberFormat="1" applyFont="1" applyFill="1" applyBorder="1" applyAlignment="1">
      <alignment horizontal="right" vertical="center"/>
    </xf>
    <xf numFmtId="0" fontId="4" fillId="0" borderId="26" xfId="0" applyFont="1" applyBorder="1"/>
    <xf numFmtId="0" fontId="4" fillId="0" borderId="27" xfId="0" applyFont="1" applyBorder="1"/>
    <xf numFmtId="0" fontId="3" fillId="0" borderId="28" xfId="0" applyFont="1" applyBorder="1" applyAlignment="1">
      <alignment horizontal="left" vertical="center"/>
    </xf>
    <xf numFmtId="2" fontId="3" fillId="0" borderId="29" xfId="0" applyNumberFormat="1" applyFont="1" applyBorder="1" applyAlignment="1">
      <alignment horizontal="right" vertical="center"/>
    </xf>
    <xf numFmtId="0" fontId="3" fillId="0" borderId="29" xfId="0" applyFont="1" applyBorder="1" applyAlignment="1">
      <alignment horizontal="left" vertical="center"/>
    </xf>
    <xf numFmtId="2" fontId="3" fillId="0" borderId="30" xfId="0" applyNumberFormat="1" applyFont="1" applyBorder="1" applyAlignment="1">
      <alignment horizontal="right" vertical="center"/>
    </xf>
    <xf numFmtId="0" fontId="3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left" vertical="center"/>
    </xf>
    <xf numFmtId="2" fontId="1" fillId="0" borderId="23" xfId="0" applyNumberFormat="1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2" fontId="1" fillId="0" borderId="24" xfId="0" applyNumberFormat="1" applyFont="1" applyBorder="1" applyAlignment="1">
      <alignment vertical="center"/>
    </xf>
    <xf numFmtId="2" fontId="1" fillId="0" borderId="10" xfId="0" applyNumberFormat="1" applyFont="1" applyBorder="1" applyAlignment="1">
      <alignment vertical="center"/>
    </xf>
    <xf numFmtId="2" fontId="1" fillId="0" borderId="11" xfId="0" applyNumberFormat="1" applyFont="1" applyBorder="1" applyAlignment="1">
      <alignment vertical="center"/>
    </xf>
    <xf numFmtId="2" fontId="1" fillId="0" borderId="26" xfId="0" applyNumberFormat="1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2" fontId="1" fillId="0" borderId="27" xfId="0" applyNumberFormat="1" applyFont="1" applyBorder="1" applyAlignment="1">
      <alignment vertical="center"/>
    </xf>
    <xf numFmtId="0" fontId="3" fillId="0" borderId="15" xfId="0" applyFont="1" applyBorder="1" applyAlignment="1">
      <alignment horizontal="left" vertical="center"/>
    </xf>
    <xf numFmtId="2" fontId="3" fillId="0" borderId="16" xfId="0" applyNumberFormat="1" applyFont="1" applyFill="1" applyBorder="1" applyAlignment="1">
      <alignment vertical="center"/>
    </xf>
    <xf numFmtId="0" fontId="3" fillId="0" borderId="16" xfId="0" applyFont="1" applyFill="1" applyBorder="1" applyAlignment="1">
      <alignment horizontal="left" vertical="center"/>
    </xf>
    <xf numFmtId="2" fontId="3" fillId="0" borderId="17" xfId="0" applyNumberFormat="1" applyFont="1" applyFill="1" applyBorder="1" applyAlignment="1">
      <alignment vertical="center"/>
    </xf>
    <xf numFmtId="0" fontId="3" fillId="0" borderId="18" xfId="0" applyFont="1" applyBorder="1" applyAlignment="1">
      <alignment horizontal="left" vertical="center"/>
    </xf>
    <xf numFmtId="2" fontId="3" fillId="0" borderId="31" xfId="0" applyNumberFormat="1" applyFont="1" applyFill="1" applyBorder="1" applyAlignment="1">
      <alignment vertical="center"/>
    </xf>
    <xf numFmtId="0" fontId="3" fillId="0" borderId="31" xfId="0" applyFont="1" applyFill="1" applyBorder="1" applyAlignment="1">
      <alignment vertical="center"/>
    </xf>
    <xf numFmtId="2" fontId="3" fillId="0" borderId="19" xfId="0" applyNumberFormat="1" applyFont="1" applyFill="1" applyBorder="1" applyAlignment="1">
      <alignment vertical="center"/>
    </xf>
    <xf numFmtId="0" fontId="3" fillId="0" borderId="16" xfId="0" applyFont="1" applyFill="1" applyBorder="1" applyAlignment="1">
      <alignment vertical="center"/>
    </xf>
    <xf numFmtId="0" fontId="1" fillId="0" borderId="16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2" fontId="3" fillId="0" borderId="33" xfId="0" applyNumberFormat="1" applyFont="1" applyFill="1" applyBorder="1" applyAlignment="1">
      <alignment vertical="center"/>
    </xf>
    <xf numFmtId="2" fontId="3" fillId="0" borderId="13" xfId="0" applyNumberFormat="1" applyFont="1" applyFill="1" applyBorder="1" applyAlignment="1">
      <alignment vertical="center"/>
    </xf>
    <xf numFmtId="2" fontId="3" fillId="0" borderId="14" xfId="0" applyNumberFormat="1" applyFont="1" applyFill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" fontId="1" fillId="0" borderId="0" xfId="0" applyNumberFormat="1" applyFont="1" applyBorder="1"/>
    <xf numFmtId="0" fontId="1" fillId="0" borderId="0" xfId="0" applyFont="1" applyBorder="1" applyAlignment="1">
      <alignment horizontal="right" vertical="center"/>
    </xf>
    <xf numFmtId="0" fontId="1" fillId="0" borderId="34" xfId="0" applyFont="1" applyBorder="1" applyAlignment="1">
      <alignment vertical="center"/>
    </xf>
    <xf numFmtId="0" fontId="1" fillId="0" borderId="0" xfId="0" applyFont="1" applyBorder="1"/>
    <xf numFmtId="0" fontId="1" fillId="0" borderId="5" xfId="0" applyFont="1" applyBorder="1"/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8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34" xfId="0" applyFont="1" applyBorder="1" applyAlignment="1">
      <alignment horizontal="center"/>
    </xf>
    <xf numFmtId="0" fontId="6" fillId="0" borderId="9" xfId="0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A4" sqref="A4:D4"/>
    </sheetView>
  </sheetViews>
  <sheetFormatPr defaultRowHeight="15" x14ac:dyDescent="0.25"/>
  <cols>
    <col min="1" max="1" width="28.7109375" customWidth="1"/>
    <col min="2" max="3" width="31.85546875" customWidth="1"/>
    <col min="4" max="4" width="20.42578125" customWidth="1"/>
  </cols>
  <sheetData>
    <row r="1" spans="1:4" x14ac:dyDescent="0.25">
      <c r="A1" s="105" t="s">
        <v>43</v>
      </c>
      <c r="B1" s="1"/>
      <c r="C1" s="1"/>
      <c r="D1" s="2"/>
    </row>
    <row r="2" spans="1:4" x14ac:dyDescent="0.25">
      <c r="A2" s="3"/>
      <c r="B2" s="4"/>
      <c r="C2" s="4"/>
      <c r="D2" s="5"/>
    </row>
    <row r="3" spans="1:4" ht="57.75" customHeight="1" x14ac:dyDescent="0.25">
      <c r="A3" s="6"/>
      <c r="B3" s="7"/>
      <c r="C3" s="7"/>
      <c r="D3" s="8"/>
    </row>
    <row r="4" spans="1:4" ht="23.25" x14ac:dyDescent="0.25">
      <c r="A4" s="102" t="s">
        <v>0</v>
      </c>
      <c r="B4" s="103"/>
      <c r="C4" s="103"/>
      <c r="D4" s="104"/>
    </row>
    <row r="5" spans="1:4" ht="15.75" x14ac:dyDescent="0.25">
      <c r="A5" s="100" t="s">
        <v>1</v>
      </c>
      <c r="B5" s="10" t="s">
        <v>2</v>
      </c>
      <c r="C5" s="11" t="s">
        <v>3</v>
      </c>
      <c r="D5" s="12">
        <v>0</v>
      </c>
    </row>
    <row r="6" spans="1:4" ht="15.75" x14ac:dyDescent="0.25">
      <c r="A6" s="101" t="s">
        <v>4</v>
      </c>
      <c r="B6" s="13" t="s">
        <v>5</v>
      </c>
      <c r="C6" s="14" t="s">
        <v>6</v>
      </c>
      <c r="D6" s="12">
        <v>10500</v>
      </c>
    </row>
    <row r="7" spans="1:4" ht="15.75" x14ac:dyDescent="0.25">
      <c r="A7" s="101" t="s">
        <v>7</v>
      </c>
      <c r="B7" s="15"/>
      <c r="C7" s="14" t="s">
        <v>8</v>
      </c>
      <c r="D7" s="12">
        <v>3500</v>
      </c>
    </row>
    <row r="8" spans="1:4" ht="15.75" x14ac:dyDescent="0.25">
      <c r="A8" s="100" t="s">
        <v>9</v>
      </c>
      <c r="B8" s="16">
        <v>45845</v>
      </c>
      <c r="C8" s="14" t="s">
        <v>10</v>
      </c>
      <c r="D8" s="12">
        <v>3500</v>
      </c>
    </row>
    <row r="9" spans="1:4" ht="15.75" x14ac:dyDescent="0.25">
      <c r="A9" s="100" t="s">
        <v>11</v>
      </c>
      <c r="B9" s="17">
        <v>45923</v>
      </c>
      <c r="C9" s="14" t="s">
        <v>12</v>
      </c>
      <c r="D9" s="18">
        <f>SUM(D5:D8)</f>
        <v>17500</v>
      </c>
    </row>
    <row r="10" spans="1:4" ht="15.75" x14ac:dyDescent="0.25">
      <c r="A10" s="100" t="s">
        <v>13</v>
      </c>
      <c r="B10" s="17">
        <v>45936</v>
      </c>
      <c r="C10" s="19"/>
      <c r="D10" s="20"/>
    </row>
    <row r="11" spans="1:4" ht="15.75" x14ac:dyDescent="0.25">
      <c r="A11" s="100" t="s">
        <v>14</v>
      </c>
      <c r="B11" s="21"/>
      <c r="C11" s="21"/>
      <c r="D11" s="22"/>
    </row>
    <row r="12" spans="1:4" ht="16.5" thickBot="1" x14ac:dyDescent="0.3">
      <c r="A12" s="23"/>
      <c r="B12" s="24"/>
      <c r="C12" s="24"/>
      <c r="D12" s="25"/>
    </row>
    <row r="13" spans="1:4" ht="16.5" thickBot="1" x14ac:dyDescent="0.3">
      <c r="A13" s="26" t="s">
        <v>15</v>
      </c>
      <c r="B13" s="27"/>
      <c r="C13" s="27"/>
      <c r="D13" s="28"/>
    </row>
    <row r="14" spans="1:4" ht="16.5" thickBot="1" x14ac:dyDescent="0.3">
      <c r="A14" s="29" t="s">
        <v>16</v>
      </c>
      <c r="B14" s="30">
        <v>8</v>
      </c>
      <c r="C14" s="31"/>
      <c r="D14" s="32"/>
    </row>
    <row r="15" spans="1:4" ht="16.5" thickBot="1" x14ac:dyDescent="0.3">
      <c r="A15" s="33" t="s">
        <v>17</v>
      </c>
      <c r="B15" s="34"/>
      <c r="C15" s="35" t="s">
        <v>18</v>
      </c>
      <c r="D15" s="34"/>
    </row>
    <row r="16" spans="1:4" ht="15.75" x14ac:dyDescent="0.25">
      <c r="A16" s="36" t="s">
        <v>3</v>
      </c>
      <c r="B16" s="37" t="e">
        <f>ROUND(SUM(D5/E1*B14),0)</f>
        <v>#DIV/0!</v>
      </c>
      <c r="C16" s="38" t="s">
        <v>19</v>
      </c>
      <c r="D16" s="39" t="e">
        <f>ROUND((B16+B18)*12%,0)</f>
        <v>#DIV/0!</v>
      </c>
    </row>
    <row r="17" spans="1:4" ht="15.75" x14ac:dyDescent="0.25">
      <c r="A17" s="40" t="s">
        <v>6</v>
      </c>
      <c r="B17" s="41" t="e">
        <f>ROUND(SUM(D6/E1*B14),0)</f>
        <v>#DIV/0!</v>
      </c>
      <c r="C17" s="11" t="s">
        <v>20</v>
      </c>
      <c r="D17" s="42" t="e">
        <f>ROUND(B21*0.75%,0)</f>
        <v>#DIV/0!</v>
      </c>
    </row>
    <row r="18" spans="1:4" ht="15.75" x14ac:dyDescent="0.25">
      <c r="A18" s="40" t="s">
        <v>8</v>
      </c>
      <c r="B18" s="41" t="e">
        <f>ROUND(SUM(D7/E1*B14),B206)</f>
        <v>#DIV/0!</v>
      </c>
      <c r="C18" s="11" t="s">
        <v>21</v>
      </c>
      <c r="D18" s="42">
        <f>ROUND(150/30*B13,0)</f>
        <v>0</v>
      </c>
    </row>
    <row r="19" spans="1:4" ht="15.75" x14ac:dyDescent="0.25">
      <c r="A19" s="40" t="s">
        <v>22</v>
      </c>
      <c r="B19" s="41">
        <v>0</v>
      </c>
      <c r="C19" s="11"/>
      <c r="D19" s="43"/>
    </row>
    <row r="20" spans="1:4" ht="16.5" thickBot="1" x14ac:dyDescent="0.3">
      <c r="A20" s="44"/>
      <c r="B20" s="45">
        <v>0</v>
      </c>
      <c r="C20" s="46"/>
      <c r="D20" s="47"/>
    </row>
    <row r="21" spans="1:4" ht="16.5" thickBot="1" x14ac:dyDescent="0.3">
      <c r="A21" s="48" t="s">
        <v>12</v>
      </c>
      <c r="B21" s="49" t="e">
        <f>SUM(B16:B20)</f>
        <v>#DIV/0!</v>
      </c>
      <c r="C21" s="50" t="s">
        <v>23</v>
      </c>
      <c r="D21" s="51" t="e">
        <f>SUM(D16:D19)</f>
        <v>#DIV/0!</v>
      </c>
    </row>
    <row r="22" spans="1:4" ht="16.5" thickBot="1" x14ac:dyDescent="0.3">
      <c r="A22" s="33" t="s">
        <v>24</v>
      </c>
      <c r="B22" s="52"/>
      <c r="C22" s="52" t="s">
        <v>25</v>
      </c>
      <c r="D22" s="34"/>
    </row>
    <row r="23" spans="1:4" ht="15.75" x14ac:dyDescent="0.25">
      <c r="A23" s="53"/>
      <c r="B23" s="54"/>
      <c r="C23" s="55"/>
      <c r="D23" s="56"/>
    </row>
    <row r="24" spans="1:4" ht="15.75" x14ac:dyDescent="0.25">
      <c r="A24" s="9" t="s">
        <v>26</v>
      </c>
      <c r="B24" s="57">
        <v>0</v>
      </c>
      <c r="C24" s="19" t="s">
        <v>27</v>
      </c>
      <c r="D24" s="58">
        <v>0</v>
      </c>
    </row>
    <row r="25" spans="1:4" ht="16.5" thickBot="1" x14ac:dyDescent="0.3">
      <c r="A25" s="44" t="s">
        <v>28</v>
      </c>
      <c r="B25" s="59"/>
      <c r="C25" s="60" t="s">
        <v>29</v>
      </c>
      <c r="D25" s="61">
        <v>0</v>
      </c>
    </row>
    <row r="26" spans="1:4" ht="16.5" thickBot="1" x14ac:dyDescent="0.3">
      <c r="A26" s="62" t="s">
        <v>30</v>
      </c>
      <c r="B26" s="63">
        <f>B25+B24</f>
        <v>0</v>
      </c>
      <c r="C26" s="64" t="s">
        <v>30</v>
      </c>
      <c r="D26" s="65">
        <f>SUM(D24:D25)</f>
        <v>0</v>
      </c>
    </row>
    <row r="27" spans="1:4" ht="16.5" thickBot="1" x14ac:dyDescent="0.3">
      <c r="A27" s="66" t="s">
        <v>31</v>
      </c>
      <c r="B27" s="67" t="e">
        <f>B21+B26</f>
        <v>#DIV/0!</v>
      </c>
      <c r="C27" s="68" t="s">
        <v>32</v>
      </c>
      <c r="D27" s="69" t="e">
        <f>SUM(D21+D26)</f>
        <v>#DIV/0!</v>
      </c>
    </row>
    <row r="28" spans="1:4" ht="16.5" thickBot="1" x14ac:dyDescent="0.3">
      <c r="A28" s="62"/>
      <c r="B28" s="70"/>
      <c r="C28" s="71"/>
      <c r="D28" s="72"/>
    </row>
    <row r="29" spans="1:4" ht="16.5" thickBot="1" x14ac:dyDescent="0.3">
      <c r="A29" s="66" t="s">
        <v>33</v>
      </c>
      <c r="B29" s="73" t="e">
        <f>B27-D27</f>
        <v>#DIV/0!</v>
      </c>
      <c r="C29" s="74"/>
      <c r="D29" s="75"/>
    </row>
    <row r="30" spans="1:4" ht="15.75" x14ac:dyDescent="0.25">
      <c r="A30" s="76" t="s">
        <v>34</v>
      </c>
      <c r="B30" s="77"/>
      <c r="C30" s="77"/>
      <c r="D30" s="78"/>
    </row>
    <row r="31" spans="1:4" ht="15.75" x14ac:dyDescent="0.25">
      <c r="A31" s="79" t="s">
        <v>35</v>
      </c>
      <c r="B31" s="80"/>
      <c r="C31" s="80"/>
      <c r="D31" s="81"/>
    </row>
    <row r="32" spans="1:4" ht="15.75" x14ac:dyDescent="0.25">
      <c r="A32" s="79" t="s">
        <v>36</v>
      </c>
      <c r="B32" s="80"/>
      <c r="C32" s="80"/>
      <c r="D32" s="81"/>
    </row>
    <row r="33" spans="1:4" ht="15.75" x14ac:dyDescent="0.25">
      <c r="A33" s="79"/>
      <c r="B33" s="82"/>
      <c r="C33" s="82"/>
      <c r="D33" s="83"/>
    </row>
    <row r="34" spans="1:4" ht="16.5" thickBot="1" x14ac:dyDescent="0.3">
      <c r="A34" s="79" t="s">
        <v>37</v>
      </c>
      <c r="B34" s="84"/>
      <c r="C34" s="85" t="s">
        <v>38</v>
      </c>
      <c r="D34" s="86"/>
    </row>
    <row r="35" spans="1:4" ht="15.75" x14ac:dyDescent="0.25">
      <c r="A35" s="23"/>
      <c r="B35" s="87"/>
      <c r="C35" s="87"/>
      <c r="D35" s="88"/>
    </row>
    <row r="36" spans="1:4" ht="15.75" x14ac:dyDescent="0.25">
      <c r="A36" s="23"/>
      <c r="B36" s="87"/>
      <c r="C36" s="87"/>
      <c r="D36" s="88"/>
    </row>
    <row r="37" spans="1:4" ht="15.75" x14ac:dyDescent="0.25">
      <c r="A37" s="23"/>
      <c r="B37" s="87"/>
      <c r="C37" s="87"/>
      <c r="D37" s="88"/>
    </row>
    <row r="38" spans="1:4" ht="15.75" x14ac:dyDescent="0.25">
      <c r="A38" s="23"/>
      <c r="B38" s="87"/>
      <c r="C38" s="87"/>
      <c r="D38" s="88"/>
    </row>
    <row r="39" spans="1:4" ht="15.75" x14ac:dyDescent="0.25">
      <c r="A39" s="89" t="s">
        <v>39</v>
      </c>
      <c r="B39" s="90" t="s">
        <v>40</v>
      </c>
      <c r="C39" s="90" t="s">
        <v>41</v>
      </c>
      <c r="D39" s="88"/>
    </row>
    <row r="40" spans="1:4" ht="15.75" x14ac:dyDescent="0.25">
      <c r="A40" s="91" t="s">
        <v>42</v>
      </c>
      <c r="B40" s="92" t="s">
        <v>42</v>
      </c>
      <c r="C40" s="92" t="s">
        <v>42</v>
      </c>
      <c r="D40" s="88"/>
    </row>
    <row r="41" spans="1:4" ht="15.75" x14ac:dyDescent="0.25">
      <c r="A41" s="93"/>
      <c r="B41" s="94"/>
      <c r="C41" s="94"/>
      <c r="D41" s="88"/>
    </row>
    <row r="42" spans="1:4" ht="15.75" x14ac:dyDescent="0.25">
      <c r="A42" s="95"/>
      <c r="B42" s="96"/>
      <c r="C42" s="96"/>
      <c r="D42" s="88"/>
    </row>
    <row r="43" spans="1:4" ht="15.75" x14ac:dyDescent="0.25">
      <c r="A43" s="95"/>
      <c r="B43" s="96"/>
      <c r="C43" s="96"/>
      <c r="D43" s="88"/>
    </row>
    <row r="44" spans="1:4" ht="15.75" x14ac:dyDescent="0.25">
      <c r="A44" s="95"/>
      <c r="B44" s="96"/>
      <c r="C44" s="96"/>
      <c r="D44" s="88"/>
    </row>
    <row r="45" spans="1:4" ht="16.5" thickBot="1" x14ac:dyDescent="0.3">
      <c r="A45" s="97"/>
      <c r="B45" s="98"/>
      <c r="C45" s="98"/>
      <c r="D45" s="99"/>
    </row>
  </sheetData>
  <mergeCells count="7">
    <mergeCell ref="A1:D3"/>
    <mergeCell ref="A4:D4"/>
    <mergeCell ref="A13:D13"/>
    <mergeCell ref="A15:B15"/>
    <mergeCell ref="C15:D15"/>
    <mergeCell ref="A22:B22"/>
    <mergeCell ref="C22:D2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2026-02-27T19:31:16Z</dcterms:modified>
</cp:coreProperties>
</file>